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\Desktop\Jose Luis\Proyecto Final\"/>
    </mc:Choice>
  </mc:AlternateContent>
  <xr:revisionPtr revIDLastSave="0" documentId="13_ncr:1_{83578113-6087-42CA-A144-9119D9E71E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supuesto General" sheetId="1" r:id="rId1"/>
    <sheet name="Distribución por fases" sheetId="2" r:id="rId2"/>
    <sheet name="Costos adicion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3" l="1"/>
  <c r="B13" i="1" s="1"/>
  <c r="B22" i="2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B12" i="2"/>
  <c r="E18" i="2" s="1"/>
  <c r="B15" i="1"/>
  <c r="D22" i="2" l="1"/>
  <c r="B12" i="1" s="1"/>
  <c r="B19" i="1" s="1"/>
  <c r="B16" i="1" s="1"/>
  <c r="B20" i="1" s="1"/>
  <c r="E17" i="2"/>
  <c r="E16" i="2"/>
  <c r="E21" i="2"/>
  <c r="E20" i="2"/>
  <c r="E19" i="2"/>
  <c r="E22" i="2" l="1"/>
</calcChain>
</file>

<file path=xl/sharedStrings.xml><?xml version="1.0" encoding="utf-8"?>
<sst xmlns="http://schemas.openxmlformats.org/spreadsheetml/2006/main" count="130" uniqueCount="89">
  <si>
    <t>YENJO 1.0</t>
  </si>
  <si>
    <t>FECHA</t>
  </si>
  <si>
    <t>VÁLIDO HASTA</t>
  </si>
  <si>
    <t>NOMBRE CLIENTE</t>
  </si>
  <si>
    <t>ANGELINA ESTETICA</t>
  </si>
  <si>
    <t>DIRECCIÓN</t>
  </si>
  <si>
    <t>COMFENALCO - IBAGUÉ</t>
  </si>
  <si>
    <t>Resumen general</t>
  </si>
  <si>
    <t>TELÉFONO</t>
  </si>
  <si>
    <t>3172906178</t>
  </si>
  <si>
    <t>Concepto</t>
  </si>
  <si>
    <t>Valor</t>
  </si>
  <si>
    <t>Estado</t>
  </si>
  <si>
    <t>Observación</t>
  </si>
  <si>
    <t>CORREO</t>
  </si>
  <si>
    <t>JANNYSTI18@GMAIL.COM</t>
  </si>
  <si>
    <t>Mano de obra / desarrollo</t>
  </si>
  <si>
    <t>Estimado</t>
  </si>
  <si>
    <t>388 horas × valor de referencia de $80.000 COP/hora</t>
  </si>
  <si>
    <t>Costos adicionales desembolsados</t>
  </si>
  <si>
    <t>Realizado</t>
  </si>
  <si>
    <t>Sin inversión monetaria realizada hasta la fecha</t>
  </si>
  <si>
    <t>Hosting y dominio</t>
  </si>
  <si>
    <t>Futuro</t>
  </si>
  <si>
    <t>Fase 5. Pendiente de definir proveedor y valor</t>
  </si>
  <si>
    <t>Registro de software ante DNDA</t>
  </si>
  <si>
    <t>Contemplado</t>
  </si>
  <si>
    <t>Sin costo presupuestado</t>
  </si>
  <si>
    <t>IVA (19%)</t>
  </si>
  <si>
    <t>Opcional</t>
  </si>
  <si>
    <t>Se muestra como referencia. No se suma al valor base.</t>
  </si>
  <si>
    <t>Resultado de la propuesta</t>
  </si>
  <si>
    <t>VALOR BASE ESTIMADO</t>
  </si>
  <si>
    <t>Sin IVA</t>
  </si>
  <si>
    <t>No incluye hosting, dominio ni IVA</t>
  </si>
  <si>
    <t>VALOR REFERENCIA CON IVA (SI APLICA)</t>
  </si>
  <si>
    <t>Solo como referencia tributaria</t>
  </si>
  <si>
    <t>El valor base representa el valor económico estimado del trabajo de desarrollo; no equivale a inversión monetaria realizada.</t>
  </si>
  <si>
    <t>Parámetro</t>
  </si>
  <si>
    <t>Unidad</t>
  </si>
  <si>
    <t>Nota</t>
  </si>
  <si>
    <t>Valor de referencia por hora</t>
  </si>
  <si>
    <t>COP/hora</t>
  </si>
  <si>
    <t>Valor de referencia para la propuesta actual</t>
  </si>
  <si>
    <t>Horas totales</t>
  </si>
  <si>
    <t>horas</t>
  </si>
  <si>
    <t>Suma de las seis fases</t>
  </si>
  <si>
    <t>Fase</t>
  </si>
  <si>
    <t>Horas</t>
  </si>
  <si>
    <t>Valor hora</t>
  </si>
  <si>
    <t>Valor estimado</t>
  </si>
  <si>
    <t>% del total</t>
  </si>
  <si>
    <t>Fase 5</t>
  </si>
  <si>
    <t>TOTAL</t>
  </si>
  <si>
    <t>El valor estimado corresponde al valor económico del trabajo. No representa dinero desembolsado.</t>
  </si>
  <si>
    <t>Categoría</t>
  </si>
  <si>
    <t>Situación</t>
  </si>
  <si>
    <t>Tratamiento</t>
  </si>
  <si>
    <t>Herramientas y licencias</t>
  </si>
  <si>
    <t>StarUML</t>
  </si>
  <si>
    <t>Utilizado sin pago</t>
  </si>
  <si>
    <t>XAMPP</t>
  </si>
  <si>
    <t>Disponible para desarrollo local</t>
  </si>
  <si>
    <t>PHP y MySQL</t>
  </si>
  <si>
    <t>Tecnologías utilizadas</t>
  </si>
  <si>
    <t>Bootstrap</t>
  </si>
  <si>
    <t>Framework utilizado</t>
  </si>
  <si>
    <t>Git y GitHub</t>
  </si>
  <si>
    <t>Control de versiones y repositorio</t>
  </si>
  <si>
    <t>Infraestructura futura</t>
  </si>
  <si>
    <t>Pendiente de definir proveedor y valor</t>
  </si>
  <si>
    <t>Registro</t>
  </si>
  <si>
    <t>IVA</t>
  </si>
  <si>
    <t>IVA 19%</t>
  </si>
  <si>
    <t>Si aplica</t>
  </si>
  <si>
    <t>No incluido automáticamente en el valor base</t>
  </si>
  <si>
    <t>Contingencias</t>
  </si>
  <si>
    <t>Sin gasto identificado</t>
  </si>
  <si>
    <t>TOTAL DESEMBOLSADO A LA FECHA</t>
  </si>
  <si>
    <t>Los valores de hosting y dominio se incorporarán cuando se seleccione el proveedor. Este libro no asigna un valor estimado a ese concepto.</t>
  </si>
  <si>
    <t>APLICACIÓN PARA EL SECTOR DE LA BELLEZA</t>
  </si>
  <si>
    <t>APLICACION PARA EL SECTOR DE LA BELLEZA</t>
  </si>
  <si>
    <t>Valor Desembolsado</t>
  </si>
  <si>
    <t>Fase 1 - Análisis y definición del proyecto.</t>
  </si>
  <si>
    <t>Fase 2 - Diseño técnico y consolidación de artefactos.</t>
  </si>
  <si>
    <t>Fase 3 - Implementación de Base de Datos y Backend.</t>
  </si>
  <si>
    <t>Fase 4 - Integración y pruebas de calidad.</t>
  </si>
  <si>
    <t>Fase 5 - Despliegue y documentación del producto terminado.</t>
  </si>
  <si>
    <t>Fase 6 - Cierre técnico, entrega y sustentación.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</si>
</sst>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\(&quot;$&quot;#,##0\);\-"/>
    <numFmt numFmtId="165" formatCode="0.0%"/>
    <numFmt numFmtId="166" formatCode="dd/mm/yyyy"/>
  </numFmts>
  <fonts count="16">
    <font>
      <sz val="11"/>
      <name val="Carlito"/>
    </font>
    <font>
      <sz val="10"/>
      <color rgb="FF1F1F1F"/>
      <name val="Arial"/>
      <family val="2"/>
    </font>
    <font>
      <b/>
      <sz val="15"/>
      <color rgb="FF1F4E78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1F1F1F"/>
      <name val="Arial"/>
      <family val="2"/>
    </font>
    <font>
      <i/>
      <sz val="9"/>
      <color rgb="FF595959"/>
      <name val="Arial"/>
      <family val="2"/>
    </font>
    <font>
      <b/>
      <sz val="11"/>
      <color rgb="FF595959"/>
      <name val="Arial"/>
      <family val="2"/>
    </font>
    <font>
      <b/>
      <sz val="11"/>
      <color rgb="FF1F4E78"/>
      <name val="Arial"/>
      <family val="2"/>
    </font>
    <font>
      <b/>
      <sz val="9"/>
      <color rgb="FF1F4E78"/>
      <name val="Arial"/>
      <family val="2"/>
    </font>
    <font>
      <sz val="9"/>
      <color rgb="FF0000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8"/>
      <name val="Carlito"/>
    </font>
    <font>
      <b/>
      <sz val="24"/>
      <color rgb="FF1F4E78"/>
      <name val="Arial"/>
      <family val="2"/>
    </font>
    <font>
      <b/>
      <sz val="24"/>
      <color theme="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/>
      <right/>
      <top style="thin">
        <color rgb="FFB7C9D6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/>
      <right/>
      <top style="thin">
        <color theme="4" tint="0.59999389629810485"/>
      </top>
      <bottom/>
      <diagonal/>
    </border>
    <border>
      <left style="thin">
        <color rgb="FFB7C9D6"/>
      </left>
      <right/>
      <top/>
      <bottom style="thin">
        <color theme="3" tint="0.749992370372631"/>
      </bottom>
      <diagonal/>
    </border>
    <border>
      <left/>
      <right/>
      <top/>
      <bottom style="thin">
        <color theme="3" tint="0.749992370372631"/>
      </bottom>
      <diagonal/>
    </border>
    <border>
      <left/>
      <right style="thin">
        <color theme="3" tint="0.749992370372631"/>
      </right>
      <top/>
      <bottom style="thin">
        <color theme="3" tint="0.749992370372631"/>
      </bottom>
      <diagonal/>
    </border>
    <border>
      <left style="thin">
        <color rgb="FFB7C9D6"/>
      </left>
      <right/>
      <top style="thin">
        <color theme="3" tint="0.749992370372631"/>
      </top>
      <bottom/>
      <diagonal/>
    </border>
    <border>
      <left/>
      <right style="thin">
        <color theme="3" tint="0.749992370372631"/>
      </right>
      <top style="thin">
        <color theme="3" tint="0.749992370372631"/>
      </top>
      <bottom/>
      <diagonal/>
    </border>
    <border>
      <left/>
      <right/>
      <top style="thin">
        <color theme="3" tint="0.749992370372631"/>
      </top>
      <bottom/>
      <diagonal/>
    </border>
    <border>
      <left style="thin">
        <color theme="3" tint="0.749992370372631"/>
      </left>
      <right/>
      <top/>
      <bottom/>
      <diagonal/>
    </border>
    <border>
      <left style="thin">
        <color theme="3" tint="0.499984740745262"/>
      </left>
      <right/>
      <top/>
      <bottom/>
      <diagonal/>
    </border>
    <border>
      <left/>
      <right style="thin">
        <color theme="3" tint="0.499984740745262"/>
      </right>
      <top style="thin">
        <color theme="3" tint="0.499984740745262"/>
      </top>
      <bottom/>
      <diagonal/>
    </border>
    <border>
      <left/>
      <right/>
      <top style="thin">
        <color theme="3" tint="0.499984740745262"/>
      </top>
      <bottom/>
      <diagonal/>
    </border>
    <border>
      <left/>
      <right/>
      <top style="thin">
        <color theme="3" tint="0.499984740745262"/>
      </top>
      <bottom style="thin">
        <color rgb="FFB7C9D6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rgb="FFB7C9D6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rgb="FFB7C9D6"/>
      </left>
      <right style="thin">
        <color rgb="FFB7C9D6"/>
      </right>
      <top style="thin">
        <color theme="3" tint="0.499984740745262"/>
      </top>
      <bottom style="thin">
        <color rgb="FFB7C9D6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rgb="FFB7C9D6"/>
      </top>
      <bottom style="thin">
        <color theme="3" tint="0.499984740745262"/>
      </bottom>
      <diagonal/>
    </border>
    <border>
      <left style="thin">
        <color rgb="FFB7C9D6"/>
      </left>
      <right style="thin">
        <color theme="3" tint="0.749992370372631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theme="3" tint="0.749992370372631"/>
      </bottom>
      <diagonal/>
    </border>
    <border>
      <left/>
      <right/>
      <top style="thin">
        <color theme="3" tint="0.749992370372631"/>
      </top>
      <bottom style="thin">
        <color theme="3" tint="0.749992370372631"/>
      </bottom>
      <diagonal/>
    </border>
    <border>
      <left/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rgb="FFB7C9D6"/>
      </left>
      <right style="thin">
        <color theme="3" tint="0.749992370372631"/>
      </right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horizontal="right" vertical="center"/>
    </xf>
    <xf numFmtId="0" fontId="5" fillId="4" borderId="1" xfId="0" applyNumberFormat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horizontal="right" vertical="center"/>
    </xf>
    <xf numFmtId="165" fontId="1" fillId="0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0" fontId="8" fillId="6" borderId="0" xfId="0" applyNumberFormat="1" applyFont="1" applyFill="1" applyBorder="1" applyAlignment="1">
      <alignment vertical="center"/>
    </xf>
    <xf numFmtId="0" fontId="9" fillId="7" borderId="1" xfId="0" applyNumberFormat="1" applyFont="1" applyFill="1" applyBorder="1" applyAlignment="1">
      <alignment vertical="center"/>
    </xf>
    <xf numFmtId="0" fontId="11" fillId="9" borderId="0" xfId="0" applyNumberFormat="1" applyFont="1" applyFill="1" applyBorder="1" applyAlignment="1">
      <alignment vertical="center"/>
    </xf>
    <xf numFmtId="0" fontId="12" fillId="9" borderId="0" xfId="0" applyNumberFormat="1" applyFont="1" applyFill="1" applyBorder="1" applyAlignment="1">
      <alignment vertical="center"/>
    </xf>
    <xf numFmtId="166" fontId="12" fillId="9" borderId="0" xfId="0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vertical="center"/>
    </xf>
    <xf numFmtId="0" fontId="8" fillId="6" borderId="7" xfId="0" applyNumberFormat="1" applyFont="1" applyFill="1" applyBorder="1" applyAlignment="1">
      <alignment vertical="center"/>
    </xf>
    <xf numFmtId="0" fontId="0" fillId="0" borderId="0" xfId="0" applyBorder="1"/>
    <xf numFmtId="0" fontId="10" fillId="8" borderId="1" xfId="0" applyNumberFormat="1" applyFont="1" applyFill="1" applyBorder="1" applyAlignment="1">
      <alignment horizontal="center" vertical="center"/>
    </xf>
    <xf numFmtId="166" fontId="10" fillId="8" borderId="1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9" fillId="9" borderId="0" xfId="0" applyNumberFormat="1" applyFont="1" applyFill="1" applyBorder="1" applyAlignment="1">
      <alignment vertical="center"/>
    </xf>
    <xf numFmtId="0" fontId="10" fillId="9" borderId="0" xfId="0" applyNumberFormat="1" applyFont="1" applyFill="1" applyBorder="1" applyAlignment="1">
      <alignment vertical="center"/>
    </xf>
    <xf numFmtId="166" fontId="10" fillId="9" borderId="0" xfId="0" applyNumberFormat="1" applyFont="1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0" fontId="6" fillId="5" borderId="15" xfId="0" applyNumberFormat="1" applyFont="1" applyFill="1" applyBorder="1" applyAlignment="1">
      <alignment vertical="center"/>
    </xf>
    <xf numFmtId="0" fontId="6" fillId="9" borderId="16" xfId="0" applyNumberFormat="1" applyFont="1" applyFill="1" applyBorder="1" applyAlignment="1">
      <alignment vertical="center"/>
    </xf>
    <xf numFmtId="0" fontId="6" fillId="9" borderId="0" xfId="0" applyNumberFormat="1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  <xf numFmtId="0" fontId="3" fillId="2" borderId="18" xfId="0" applyNumberFormat="1" applyFont="1" applyFill="1" applyBorder="1" applyAlignment="1">
      <alignment horizontal="center" vertical="center"/>
    </xf>
    <xf numFmtId="0" fontId="3" fillId="2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vertical="center"/>
    </xf>
    <xf numFmtId="0" fontId="3" fillId="2" borderId="21" xfId="0" applyNumberFormat="1" applyFont="1" applyFill="1" applyBorder="1" applyAlignment="1">
      <alignment horizontal="center" vertical="center"/>
    </xf>
    <xf numFmtId="0" fontId="1" fillId="0" borderId="22" xfId="0" applyNumberFormat="1" applyFont="1" applyFill="1" applyBorder="1" applyAlignment="1">
      <alignment vertical="center"/>
    </xf>
    <xf numFmtId="0" fontId="1" fillId="0" borderId="24" xfId="0" applyNumberFormat="1" applyFont="1" applyFill="1" applyBorder="1" applyAlignment="1">
      <alignment vertical="center"/>
    </xf>
    <xf numFmtId="164" fontId="4" fillId="3" borderId="24" xfId="0" applyNumberFormat="1" applyFont="1" applyFill="1" applyBorder="1" applyAlignment="1">
      <alignment horizontal="right" vertical="center"/>
    </xf>
    <xf numFmtId="0" fontId="3" fillId="2" borderId="25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vertical="center"/>
    </xf>
    <xf numFmtId="0" fontId="6" fillId="5" borderId="21" xfId="0" applyNumberFormat="1" applyFont="1" applyFill="1" applyBorder="1" applyAlignment="1">
      <alignment vertical="center"/>
    </xf>
    <xf numFmtId="0" fontId="6" fillId="5" borderId="23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10" fillId="8" borderId="27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28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0" fontId="3" fillId="2" borderId="30" xfId="0" applyNumberFormat="1" applyFont="1" applyFill="1" applyBorder="1" applyAlignment="1">
      <alignment horizontal="center" vertical="center"/>
    </xf>
    <xf numFmtId="0" fontId="3" fillId="2" borderId="31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right" vertical="center"/>
    </xf>
    <xf numFmtId="0" fontId="1" fillId="0" borderId="32" xfId="0" applyNumberFormat="1" applyFont="1" applyFill="1" applyBorder="1" applyAlignment="1">
      <alignment vertical="center"/>
    </xf>
    <xf numFmtId="0" fontId="6" fillId="5" borderId="29" xfId="0" applyNumberFormat="1" applyFont="1" applyFill="1" applyBorder="1" applyAlignment="1">
      <alignment vertical="center"/>
    </xf>
    <xf numFmtId="0" fontId="6" fillId="5" borderId="3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horizontal="left" vertical="center"/>
    </xf>
    <xf numFmtId="0" fontId="8" fillId="6" borderId="9" xfId="0" applyNumberFormat="1" applyFont="1" applyFill="1" applyBorder="1" applyAlignment="1">
      <alignment horizontal="center" vertical="center"/>
    </xf>
    <xf numFmtId="0" fontId="8" fillId="6" borderId="5" xfId="0" applyNumberFormat="1" applyFont="1" applyFill="1" applyBorder="1" applyAlignment="1">
      <alignment horizontal="center" vertical="center"/>
    </xf>
    <xf numFmtId="0" fontId="9" fillId="7" borderId="33" xfId="0" applyNumberFormat="1" applyFont="1" applyFill="1" applyBorder="1" applyAlignment="1">
      <alignment horizontal="center" vertical="center"/>
    </xf>
    <xf numFmtId="0" fontId="9" fillId="7" borderId="34" xfId="0" applyNumberFormat="1" applyFont="1" applyFill="1" applyBorder="1" applyAlignment="1">
      <alignment horizontal="center" vertical="center"/>
    </xf>
    <xf numFmtId="0" fontId="3" fillId="2" borderId="21" xfId="0" applyNumberFormat="1" applyFont="1" applyFill="1" applyBorder="1" applyAlignment="1">
      <alignment horizontal="center" vertical="center"/>
    </xf>
    <xf numFmtId="0" fontId="3" fillId="2" borderId="23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/>
    </xf>
    <xf numFmtId="0" fontId="15" fillId="0" borderId="8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0</xdr:row>
      <xdr:rowOff>114300</xdr:rowOff>
    </xdr:from>
    <xdr:to>
      <xdr:col>3</xdr:col>
      <xdr:colOff>1342039</xdr:colOff>
      <xdr:row>4</xdr:row>
      <xdr:rowOff>38099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73B693-71CC-4BF2-BB5C-4DD9EC8BB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14300"/>
          <a:ext cx="1094389" cy="847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0</xdr:row>
      <xdr:rowOff>19050</xdr:rowOff>
    </xdr:from>
    <xdr:to>
      <xdr:col>3</xdr:col>
      <xdr:colOff>1364075</xdr:colOff>
      <xdr:row>4</xdr:row>
      <xdr:rowOff>142567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E3A56E-143F-4793-BA13-B3A75179E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5475" y="19050"/>
          <a:ext cx="1097375" cy="8474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1152525</xdr:colOff>
      <xdr:row>0</xdr:row>
      <xdr:rowOff>171450</xdr:rowOff>
    </xdr:from>
    <xdr:to>
      <xdr:col>3</xdr:col>
      <xdr:colOff>116300</xdr:colOff>
      <xdr:row>5</xdr:row>
      <xdr:rowOff>113992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5C2C1D-47E4-477F-9D49-3B4F22430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0725" y="171450"/>
          <a:ext cx="1097375" cy="847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showGridLines="0" tabSelected="1" workbookViewId="0">
      <selection activeCell="F12" sqref="F12"/>
    </sheetView>
  </sheetViews>
  <sheetFormatPr baseColWidth="10" defaultColWidth="9" defaultRowHeight="14.25"/>
  <cols>
    <col min="1" max="1" width="34.875" customWidth="1"/>
    <col min="2" max="2" width="24.125" customWidth="1"/>
    <col min="3" max="3" width="14" customWidth="1"/>
    <col min="4" max="4" width="46" customWidth="1"/>
    <col min="6" max="6" width="19" customWidth="1"/>
    <col min="7" max="7" width="28" customWidth="1"/>
  </cols>
  <sheetData>
    <row r="1" spans="1:8" ht="14.25" customHeight="1">
      <c r="D1" s="2"/>
    </row>
    <row r="2" spans="1:8" ht="19.5">
      <c r="A2" s="62" t="s">
        <v>80</v>
      </c>
      <c r="B2" s="63"/>
      <c r="D2" s="2"/>
    </row>
    <row r="3" spans="1:8" ht="19.5">
      <c r="A3" s="14" t="s">
        <v>1</v>
      </c>
      <c r="B3" s="24">
        <v>46283</v>
      </c>
      <c r="D3" s="2"/>
    </row>
    <row r="4" spans="1:8" ht="19.5">
      <c r="A4" s="14" t="s">
        <v>2</v>
      </c>
      <c r="B4" s="24">
        <v>46325</v>
      </c>
      <c r="D4" s="26"/>
    </row>
    <row r="5" spans="1:8" ht="19.5" customHeight="1">
      <c r="A5" s="14" t="s">
        <v>3</v>
      </c>
      <c r="B5" s="23" t="s">
        <v>4</v>
      </c>
      <c r="D5" s="59" t="s">
        <v>0</v>
      </c>
    </row>
    <row r="6" spans="1:8" ht="14.25" customHeight="1">
      <c r="A6" s="14" t="s">
        <v>5</v>
      </c>
      <c r="B6" s="23" t="s">
        <v>6</v>
      </c>
      <c r="D6" s="59"/>
      <c r="F6" s="22"/>
    </row>
    <row r="7" spans="1:8">
      <c r="A7" s="14" t="s">
        <v>8</v>
      </c>
      <c r="B7" s="23" t="s">
        <v>9</v>
      </c>
      <c r="C7" s="1"/>
      <c r="D7" s="1"/>
      <c r="E7" s="1"/>
      <c r="F7" s="1"/>
      <c r="G7" s="1"/>
      <c r="H7" s="1"/>
    </row>
    <row r="8" spans="1:8">
      <c r="A8" s="14" t="s">
        <v>14</v>
      </c>
      <c r="B8" s="23" t="s">
        <v>15</v>
      </c>
      <c r="C8" s="1"/>
      <c r="D8" s="1"/>
      <c r="E8" s="1"/>
      <c r="F8" s="15"/>
      <c r="G8" s="16"/>
      <c r="H8" s="1"/>
    </row>
    <row r="9" spans="1:8" ht="18.95" customHeight="1">
      <c r="A9" s="25"/>
      <c r="B9" s="20"/>
      <c r="C9" s="19"/>
      <c r="D9" s="1"/>
      <c r="E9" s="18"/>
      <c r="F9" s="15"/>
      <c r="G9" s="17"/>
      <c r="H9" s="1"/>
    </row>
    <row r="10" spans="1:8" ht="18.95" customHeight="1">
      <c r="A10" s="60" t="s">
        <v>7</v>
      </c>
      <c r="B10" s="60"/>
      <c r="C10" s="60"/>
      <c r="D10" s="61"/>
      <c r="E10" s="1"/>
      <c r="F10" s="15"/>
      <c r="G10" s="16"/>
      <c r="H10" s="1"/>
    </row>
    <row r="11" spans="1:8" ht="18.95" customHeight="1">
      <c r="A11" s="3" t="s">
        <v>10</v>
      </c>
      <c r="B11" s="3" t="s">
        <v>11</v>
      </c>
      <c r="C11" s="3" t="s">
        <v>12</v>
      </c>
      <c r="D11" s="3" t="s">
        <v>13</v>
      </c>
      <c r="E11" s="1"/>
      <c r="F11" s="15"/>
      <c r="G11" s="16"/>
      <c r="H11" s="1"/>
    </row>
    <row r="12" spans="1:8" ht="21" customHeight="1">
      <c r="A12" s="4" t="s">
        <v>16</v>
      </c>
      <c r="B12" s="7">
        <f>'Distribución por fases'!D22</f>
        <v>31040000</v>
      </c>
      <c r="C12" s="4" t="s">
        <v>17</v>
      </c>
      <c r="D12" s="4" t="s">
        <v>18</v>
      </c>
      <c r="E12" s="1"/>
      <c r="F12" s="1"/>
      <c r="G12" s="1"/>
      <c r="H12" s="1"/>
    </row>
    <row r="13" spans="1:8" ht="21" customHeight="1">
      <c r="A13" s="4" t="s">
        <v>19</v>
      </c>
      <c r="B13" s="7">
        <f>'Costos adicionales'!D21</f>
        <v>0</v>
      </c>
      <c r="C13" s="4" t="s">
        <v>20</v>
      </c>
      <c r="D13" s="4" t="s">
        <v>21</v>
      </c>
      <c r="E13" s="1"/>
      <c r="F13" s="1"/>
      <c r="G13" s="1"/>
      <c r="H13" s="1"/>
    </row>
    <row r="14" spans="1:8" ht="21" customHeight="1">
      <c r="A14" s="4" t="s">
        <v>22</v>
      </c>
      <c r="B14" s="7"/>
      <c r="C14" s="4" t="s">
        <v>23</v>
      </c>
      <c r="D14" s="4" t="s">
        <v>24</v>
      </c>
      <c r="E14" s="1"/>
      <c r="F14" s="1"/>
      <c r="G14" s="1"/>
      <c r="H14" s="1"/>
    </row>
    <row r="15" spans="1:8" ht="21" customHeight="1">
      <c r="A15" s="4" t="s">
        <v>25</v>
      </c>
      <c r="B15" s="7">
        <f>'Costos adicionales'!D17</f>
        <v>0</v>
      </c>
      <c r="C15" s="4" t="s">
        <v>26</v>
      </c>
      <c r="D15" s="4" t="s">
        <v>27</v>
      </c>
      <c r="E15" s="1"/>
      <c r="F15" s="1"/>
      <c r="G15" s="1"/>
      <c r="H15" s="1"/>
    </row>
    <row r="16" spans="1:8" ht="21" customHeight="1">
      <c r="A16" s="4" t="s">
        <v>28</v>
      </c>
      <c r="B16" s="7">
        <f>B19*19%</f>
        <v>5897600</v>
      </c>
      <c r="C16" s="4" t="s">
        <v>29</v>
      </c>
      <c r="D16" s="4" t="s">
        <v>30</v>
      </c>
      <c r="E16" s="1"/>
      <c r="F16" s="1"/>
      <c r="G16" s="1"/>
      <c r="H16" s="1"/>
    </row>
    <row r="17" spans="1:8" ht="21" customHeight="1">
      <c r="A17" s="20"/>
      <c r="B17" s="20"/>
      <c r="C17" s="20"/>
      <c r="D17" s="20"/>
      <c r="E17" s="1"/>
      <c r="F17" s="1"/>
      <c r="G17" s="1"/>
      <c r="H17" s="1"/>
    </row>
    <row r="18" spans="1:8" ht="21" customHeight="1">
      <c r="A18" s="21" t="s">
        <v>31</v>
      </c>
      <c r="B18" s="13"/>
      <c r="C18" s="13"/>
      <c r="D18" s="21"/>
      <c r="E18" s="1"/>
      <c r="F18" s="1"/>
      <c r="G18" s="1"/>
      <c r="H18" s="1"/>
    </row>
    <row r="19" spans="1:8" ht="21" customHeight="1">
      <c r="A19" s="6" t="s">
        <v>32</v>
      </c>
      <c r="B19" s="10">
        <f>B12+B13</f>
        <v>31040000</v>
      </c>
      <c r="C19" s="6" t="s">
        <v>33</v>
      </c>
      <c r="D19" s="6" t="s">
        <v>34</v>
      </c>
      <c r="E19" s="1"/>
      <c r="F19" s="1"/>
      <c r="G19" s="1"/>
      <c r="H19" s="1"/>
    </row>
    <row r="20" spans="1:8" ht="21" customHeight="1">
      <c r="A20" s="6" t="s">
        <v>35</v>
      </c>
      <c r="B20" s="10">
        <f>B19+B16</f>
        <v>36937600</v>
      </c>
      <c r="C20" s="6" t="s">
        <v>29</v>
      </c>
      <c r="D20" s="6" t="s">
        <v>36</v>
      </c>
      <c r="E20" s="1"/>
      <c r="F20" s="1"/>
      <c r="G20" s="1"/>
      <c r="H20" s="1"/>
    </row>
    <row r="21" spans="1:8" ht="21" customHeight="1">
      <c r="A21" s="1"/>
      <c r="B21" s="1"/>
      <c r="C21" s="1"/>
      <c r="D21" s="1"/>
      <c r="E21" s="1"/>
      <c r="F21" s="1"/>
      <c r="G21" s="1"/>
      <c r="H21" s="1"/>
    </row>
    <row r="22" spans="1:8" ht="21" customHeight="1">
      <c r="A22" s="45" t="s">
        <v>37</v>
      </c>
      <c r="B22" s="45"/>
      <c r="C22" s="45"/>
      <c r="D22" s="46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</sheetData>
  <mergeCells count="3">
    <mergeCell ref="D5:D6"/>
    <mergeCell ref="A10:D10"/>
    <mergeCell ref="A2:B2"/>
  </mergeCells>
  <phoneticPr fontId="13" type="noConversion"/>
  <pageMargins left="0.7" right="0.7" top="0.75" bottom="0.75" header="0.3" footer="0.3"/>
  <ignoredErrors>
    <ignoredError sqref="B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64"/>
  <sheetViews>
    <sheetView showGridLines="0" workbookViewId="0">
      <selection activeCell="F18" sqref="F18"/>
    </sheetView>
  </sheetViews>
  <sheetFormatPr baseColWidth="10" defaultColWidth="9" defaultRowHeight="14.25"/>
  <cols>
    <col min="1" max="1" width="45.625" customWidth="1"/>
    <col min="2" max="2" width="19.375" customWidth="1"/>
    <col min="3" max="3" width="18" customWidth="1"/>
    <col min="4" max="4" width="36" customWidth="1"/>
    <col min="5" max="5" width="14" customWidth="1"/>
    <col min="6" max="6" width="19" customWidth="1"/>
    <col min="7" max="7" width="28" customWidth="1"/>
  </cols>
  <sheetData>
    <row r="2" spans="1:8">
      <c r="A2" s="62" t="s">
        <v>80</v>
      </c>
      <c r="B2" s="63"/>
      <c r="C2" s="1"/>
      <c r="D2" s="1"/>
      <c r="E2" s="1"/>
      <c r="F2" s="1"/>
      <c r="G2" s="1"/>
      <c r="H2" s="1"/>
    </row>
    <row r="3" spans="1:8">
      <c r="A3" s="14" t="s">
        <v>1</v>
      </c>
      <c r="B3" s="24">
        <v>46283</v>
      </c>
      <c r="C3" s="1"/>
      <c r="D3" s="1"/>
      <c r="E3" s="1"/>
      <c r="F3" s="1"/>
      <c r="G3" s="1"/>
      <c r="H3" s="1"/>
    </row>
    <row r="4" spans="1:8">
      <c r="A4" s="14" t="s">
        <v>2</v>
      </c>
      <c r="B4" s="24">
        <v>46325</v>
      </c>
      <c r="C4" s="1"/>
      <c r="D4" s="1"/>
      <c r="E4" s="1"/>
      <c r="F4" s="1"/>
      <c r="G4" s="1"/>
      <c r="H4" s="1"/>
    </row>
    <row r="5" spans="1:8">
      <c r="A5" s="14" t="s">
        <v>3</v>
      </c>
      <c r="B5" s="23" t="s">
        <v>4</v>
      </c>
      <c r="C5" s="1"/>
      <c r="D5" s="1"/>
      <c r="E5" s="1"/>
      <c r="F5" s="1"/>
      <c r="G5" s="1"/>
      <c r="H5" s="1"/>
    </row>
    <row r="6" spans="1:8" ht="14.25" customHeight="1">
      <c r="A6" s="14" t="s">
        <v>5</v>
      </c>
      <c r="B6" s="23" t="s">
        <v>6</v>
      </c>
      <c r="C6" s="1"/>
      <c r="D6" s="70" t="s">
        <v>0</v>
      </c>
      <c r="E6" s="1"/>
      <c r="F6" s="1"/>
      <c r="G6" s="1"/>
      <c r="H6" s="1"/>
    </row>
    <row r="7" spans="1:8" ht="14.25" customHeight="1">
      <c r="A7" s="14" t="s">
        <v>8</v>
      </c>
      <c r="B7" s="23" t="s">
        <v>9</v>
      </c>
      <c r="C7" s="1"/>
      <c r="D7" s="70"/>
      <c r="E7" s="1"/>
      <c r="F7" s="27"/>
      <c r="G7" s="28"/>
      <c r="H7" s="1"/>
    </row>
    <row r="8" spans="1:8" ht="14.25" customHeight="1">
      <c r="A8" s="14" t="s">
        <v>14</v>
      </c>
      <c r="B8" s="23" t="s">
        <v>15</v>
      </c>
      <c r="C8" s="1"/>
      <c r="D8" s="47"/>
      <c r="E8" s="1"/>
      <c r="F8" s="27"/>
      <c r="G8" s="29"/>
      <c r="H8" s="1"/>
    </row>
    <row r="9" spans="1:8" ht="18.95" customHeight="1">
      <c r="A9" s="44"/>
      <c r="B9" s="1"/>
      <c r="C9" s="1"/>
      <c r="D9" s="1"/>
      <c r="E9" s="1"/>
      <c r="F9" s="27"/>
      <c r="G9" s="28"/>
      <c r="H9" s="1"/>
    </row>
    <row r="10" spans="1:8" ht="18.95" customHeight="1">
      <c r="A10" s="43" t="s">
        <v>38</v>
      </c>
      <c r="B10" s="43" t="s">
        <v>11</v>
      </c>
      <c r="C10" s="43" t="s">
        <v>39</v>
      </c>
      <c r="D10" s="64" t="s">
        <v>40</v>
      </c>
      <c r="E10" s="65"/>
      <c r="F10" s="27"/>
      <c r="G10" s="28"/>
      <c r="H10" s="1"/>
    </row>
    <row r="11" spans="1:8" ht="18.95" customHeight="1">
      <c r="A11" s="41" t="s">
        <v>41</v>
      </c>
      <c r="B11" s="42">
        <v>80000</v>
      </c>
      <c r="C11" s="41" t="s">
        <v>42</v>
      </c>
      <c r="D11" s="66" t="s">
        <v>43</v>
      </c>
      <c r="E11" s="67"/>
      <c r="F11" s="27"/>
      <c r="G11" s="28"/>
      <c r="H11" s="1"/>
    </row>
    <row r="12" spans="1:8" ht="18.95" customHeight="1">
      <c r="A12" s="4" t="s">
        <v>44</v>
      </c>
      <c r="B12" s="5">
        <f>SUM(B16:B21)</f>
        <v>388</v>
      </c>
      <c r="C12" s="4" t="s">
        <v>45</v>
      </c>
      <c r="D12" s="68" t="s">
        <v>46</v>
      </c>
      <c r="E12" s="69"/>
      <c r="F12" s="27"/>
      <c r="G12" s="28"/>
      <c r="H12" s="1"/>
    </row>
    <row r="13" spans="1:8" ht="20.100000000000001" customHeight="1">
      <c r="A13" s="1"/>
      <c r="B13" s="1"/>
      <c r="C13" s="1"/>
      <c r="D13" s="30"/>
      <c r="E13" s="31"/>
      <c r="F13" s="1"/>
      <c r="G13" s="1"/>
      <c r="H13" s="1"/>
    </row>
    <row r="14" spans="1:8" ht="20.100000000000001" customHeight="1">
      <c r="A14" s="37" t="s">
        <v>47</v>
      </c>
      <c r="B14" s="37" t="s">
        <v>48</v>
      </c>
      <c r="C14" s="39" t="s">
        <v>49</v>
      </c>
      <c r="D14" s="37" t="s">
        <v>50</v>
      </c>
      <c r="E14" s="36" t="s">
        <v>51</v>
      </c>
      <c r="F14" s="35"/>
      <c r="G14" s="1"/>
      <c r="H14" s="1"/>
    </row>
    <row r="15" spans="1:8" ht="20.100000000000001" customHeight="1">
      <c r="A15" s="38"/>
      <c r="B15" s="38"/>
      <c r="C15" s="1"/>
      <c r="D15" s="38"/>
      <c r="E15" s="40"/>
      <c r="F15" s="35"/>
      <c r="G15" s="1"/>
      <c r="H15" s="1"/>
    </row>
    <row r="16" spans="1:8" ht="20.100000000000001" customHeight="1">
      <c r="A16" s="4" t="s">
        <v>83</v>
      </c>
      <c r="B16" s="5">
        <v>49</v>
      </c>
      <c r="C16" s="7">
        <f t="shared" ref="C16:C21" si="0">$B$11</f>
        <v>80000</v>
      </c>
      <c r="D16" s="7">
        <f t="shared" ref="D16:D21" si="1">B16*C16</f>
        <v>3920000</v>
      </c>
      <c r="E16" s="8">
        <f t="shared" ref="E16:E21" si="2">B16/$B$12</f>
        <v>0.12628865979381443</v>
      </c>
      <c r="F16" s="1"/>
      <c r="G16" s="1"/>
      <c r="H16" s="1"/>
    </row>
    <row r="17" spans="1:8" ht="20.100000000000001" customHeight="1">
      <c r="A17" s="4" t="s">
        <v>84</v>
      </c>
      <c r="B17" s="5">
        <v>57</v>
      </c>
      <c r="C17" s="7">
        <f t="shared" si="0"/>
        <v>80000</v>
      </c>
      <c r="D17" s="7">
        <f t="shared" si="1"/>
        <v>4560000</v>
      </c>
      <c r="E17" s="8">
        <f t="shared" si="2"/>
        <v>0.14690721649484537</v>
      </c>
      <c r="F17" s="1"/>
      <c r="G17" s="1"/>
      <c r="H17" s="1"/>
    </row>
    <row r="18" spans="1:8" ht="20.100000000000001" customHeight="1">
      <c r="A18" s="4" t="s">
        <v>85</v>
      </c>
      <c r="B18" s="5">
        <v>108</v>
      </c>
      <c r="C18" s="7">
        <f t="shared" si="0"/>
        <v>80000</v>
      </c>
      <c r="D18" s="7">
        <f t="shared" si="1"/>
        <v>8640000</v>
      </c>
      <c r="E18" s="8">
        <f t="shared" si="2"/>
        <v>0.27835051546391754</v>
      </c>
      <c r="F18" s="1"/>
      <c r="G18" s="1"/>
      <c r="H18" s="1"/>
    </row>
    <row r="19" spans="1:8" ht="20.100000000000001" customHeight="1">
      <c r="A19" s="4" t="s">
        <v>86</v>
      </c>
      <c r="B19" s="5">
        <v>90</v>
      </c>
      <c r="C19" s="7">
        <f t="shared" si="0"/>
        <v>80000</v>
      </c>
      <c r="D19" s="7">
        <f t="shared" si="1"/>
        <v>7200000</v>
      </c>
      <c r="E19" s="8">
        <f t="shared" si="2"/>
        <v>0.23195876288659795</v>
      </c>
      <c r="F19" s="1"/>
      <c r="G19" s="1"/>
      <c r="H19" s="1"/>
    </row>
    <row r="20" spans="1:8" ht="20.100000000000001" customHeight="1">
      <c r="A20" s="4" t="s">
        <v>87</v>
      </c>
      <c r="B20" s="5">
        <v>54</v>
      </c>
      <c r="C20" s="7">
        <f t="shared" si="0"/>
        <v>80000</v>
      </c>
      <c r="D20" s="7">
        <f t="shared" si="1"/>
        <v>4320000</v>
      </c>
      <c r="E20" s="8">
        <f t="shared" si="2"/>
        <v>0.13917525773195877</v>
      </c>
      <c r="F20" s="1"/>
      <c r="G20" s="1"/>
      <c r="H20" s="1"/>
    </row>
    <row r="21" spans="1:8" ht="20.100000000000001" customHeight="1">
      <c r="A21" s="4" t="s">
        <v>88</v>
      </c>
      <c r="B21" s="5">
        <v>30</v>
      </c>
      <c r="C21" s="7">
        <f t="shared" si="0"/>
        <v>80000</v>
      </c>
      <c r="D21" s="7">
        <f t="shared" si="1"/>
        <v>2400000</v>
      </c>
      <c r="E21" s="8">
        <f t="shared" si="2"/>
        <v>7.7319587628865982E-2</v>
      </c>
      <c r="F21" s="1"/>
      <c r="G21" s="1"/>
      <c r="H21" s="1"/>
    </row>
    <row r="22" spans="1:8" ht="20.100000000000001" customHeight="1">
      <c r="A22" s="6" t="s">
        <v>53</v>
      </c>
      <c r="B22" s="9">
        <f>SUM(B16:B21)</f>
        <v>388</v>
      </c>
      <c r="C22" s="10"/>
      <c r="D22" s="10">
        <f>SUM(D16:D21)</f>
        <v>31040000</v>
      </c>
      <c r="E22" s="11">
        <f>SUM(E16:E21)</f>
        <v>1</v>
      </c>
      <c r="F22" s="1"/>
      <c r="G22" s="31"/>
      <c r="H22" s="1"/>
    </row>
    <row r="23" spans="1:8" ht="20.100000000000001" customHeight="1">
      <c r="A23" s="1"/>
      <c r="B23" s="1"/>
      <c r="C23" s="1"/>
      <c r="D23" s="1"/>
      <c r="E23" s="1"/>
      <c r="F23" s="1"/>
      <c r="G23" s="1"/>
      <c r="H23" s="1"/>
    </row>
    <row r="24" spans="1:8" ht="20.100000000000001" customHeight="1">
      <c r="A24" s="32" t="s">
        <v>54</v>
      </c>
      <c r="B24" s="32"/>
      <c r="C24" s="32"/>
      <c r="D24" s="33"/>
      <c r="E24" s="34"/>
      <c r="F24" s="1"/>
      <c r="G24" s="1"/>
      <c r="H24" s="1"/>
    </row>
    <row r="25" spans="1:8">
      <c r="A25" s="31"/>
      <c r="B25" s="31"/>
      <c r="C25" s="3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</sheetData>
  <mergeCells count="5">
    <mergeCell ref="D10:E10"/>
    <mergeCell ref="D11:E11"/>
    <mergeCell ref="D12:E12"/>
    <mergeCell ref="D6:D7"/>
    <mergeCell ref="A2:B2"/>
  </mergeCells>
  <pageMargins left="0.7" right="0.7" top="0.75" bottom="0.75" header="0.3" footer="0.3"/>
  <ignoredErrors>
    <ignoredError sqref="B7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64"/>
  <sheetViews>
    <sheetView showGridLines="0" workbookViewId="0">
      <selection activeCell="F9" sqref="F9"/>
    </sheetView>
  </sheetViews>
  <sheetFormatPr baseColWidth="10" defaultColWidth="9" defaultRowHeight="14.25"/>
  <cols>
    <col min="1" max="1" width="31" customWidth="1"/>
    <col min="2" max="2" width="28.375" customWidth="1"/>
    <col min="3" max="3" width="28" customWidth="1"/>
    <col min="4" max="4" width="17.375" bestFit="1" customWidth="1"/>
    <col min="5" max="5" width="37.375" customWidth="1"/>
    <col min="6" max="6" width="19" customWidth="1"/>
    <col min="7" max="7" width="28" customWidth="1"/>
  </cols>
  <sheetData>
    <row r="2" spans="1:8">
      <c r="A2" s="62" t="s">
        <v>81</v>
      </c>
      <c r="B2" s="63"/>
    </row>
    <row r="3" spans="1:8">
      <c r="A3" s="14" t="s">
        <v>1</v>
      </c>
      <c r="B3" s="24">
        <v>46283</v>
      </c>
    </row>
    <row r="4" spans="1:8">
      <c r="A4" s="14" t="s">
        <v>2</v>
      </c>
      <c r="B4" s="24">
        <v>46325</v>
      </c>
    </row>
    <row r="5" spans="1:8">
      <c r="A5" s="14" t="s">
        <v>3</v>
      </c>
      <c r="B5" s="23" t="s">
        <v>4</v>
      </c>
      <c r="C5" s="1"/>
      <c r="D5" s="1"/>
      <c r="E5" s="1"/>
      <c r="F5" s="1"/>
      <c r="G5" s="1"/>
      <c r="H5" s="1"/>
    </row>
    <row r="6" spans="1:8" ht="18.95" customHeight="1">
      <c r="A6" s="14" t="s">
        <v>5</v>
      </c>
      <c r="B6" s="23" t="s">
        <v>6</v>
      </c>
      <c r="C6" s="71" t="s">
        <v>0</v>
      </c>
      <c r="D6" s="72"/>
      <c r="E6" s="1"/>
      <c r="F6" s="27"/>
      <c r="G6" s="28"/>
      <c r="H6" s="1"/>
    </row>
    <row r="7" spans="1:8" ht="18.95" customHeight="1">
      <c r="A7" s="14" t="s">
        <v>8</v>
      </c>
      <c r="B7" s="23" t="s">
        <v>9</v>
      </c>
      <c r="C7" s="71"/>
      <c r="D7" s="72"/>
      <c r="E7" s="1"/>
      <c r="F7" s="27"/>
      <c r="G7" s="29"/>
      <c r="H7" s="1"/>
    </row>
    <row r="8" spans="1:8" ht="18.95" customHeight="1">
      <c r="A8" s="14" t="s">
        <v>14</v>
      </c>
      <c r="B8" s="48" t="s">
        <v>15</v>
      </c>
      <c r="C8" s="1"/>
      <c r="D8" s="1"/>
      <c r="E8" s="1"/>
      <c r="F8" s="27"/>
      <c r="G8" s="29"/>
      <c r="H8" s="1"/>
    </row>
    <row r="9" spans="1:8" ht="18.95" customHeight="1">
      <c r="A9" s="51"/>
      <c r="B9" s="51"/>
      <c r="C9" s="50"/>
      <c r="D9" s="50"/>
      <c r="E9" s="50"/>
      <c r="F9" s="27"/>
      <c r="G9" s="28"/>
      <c r="H9" s="1"/>
    </row>
    <row r="10" spans="1:8" ht="18.95" customHeight="1">
      <c r="A10" s="53" t="s">
        <v>55</v>
      </c>
      <c r="B10" s="53" t="s">
        <v>10</v>
      </c>
      <c r="C10" s="54" t="s">
        <v>56</v>
      </c>
      <c r="D10" s="54" t="s">
        <v>82</v>
      </c>
      <c r="E10" s="54" t="s">
        <v>57</v>
      </c>
      <c r="F10" s="27"/>
      <c r="G10" s="28"/>
      <c r="H10" s="1"/>
    </row>
    <row r="11" spans="1:8" ht="18.95" customHeight="1">
      <c r="A11" s="52" t="s">
        <v>58</v>
      </c>
      <c r="B11" s="52" t="s">
        <v>59</v>
      </c>
      <c r="C11" s="52" t="s">
        <v>60</v>
      </c>
      <c r="D11" s="55">
        <v>0</v>
      </c>
      <c r="E11" s="56" t="s">
        <v>27</v>
      </c>
      <c r="F11" s="27"/>
      <c r="G11" s="28"/>
      <c r="H11" s="1"/>
    </row>
    <row r="12" spans="1:8" ht="18.95" customHeight="1">
      <c r="A12" s="4" t="s">
        <v>58</v>
      </c>
      <c r="B12" s="4" t="s">
        <v>61</v>
      </c>
      <c r="C12" s="4" t="s">
        <v>62</v>
      </c>
      <c r="D12" s="7">
        <v>0</v>
      </c>
      <c r="E12" s="49" t="s">
        <v>27</v>
      </c>
      <c r="F12" s="27"/>
      <c r="G12" s="28"/>
      <c r="H12" s="1"/>
    </row>
    <row r="13" spans="1:8" ht="21" customHeight="1">
      <c r="A13" s="4" t="s">
        <v>58</v>
      </c>
      <c r="B13" s="4" t="s">
        <v>63</v>
      </c>
      <c r="C13" s="4" t="s">
        <v>64</v>
      </c>
      <c r="D13" s="7">
        <v>0</v>
      </c>
      <c r="E13" s="4" t="s">
        <v>27</v>
      </c>
      <c r="F13" s="1"/>
      <c r="G13" s="1"/>
      <c r="H13" s="1"/>
    </row>
    <row r="14" spans="1:8" ht="21" customHeight="1">
      <c r="A14" s="4" t="s">
        <v>58</v>
      </c>
      <c r="B14" s="4" t="s">
        <v>65</v>
      </c>
      <c r="C14" s="4" t="s">
        <v>66</v>
      </c>
      <c r="D14" s="7">
        <v>0</v>
      </c>
      <c r="E14" s="4" t="s">
        <v>27</v>
      </c>
      <c r="F14" s="1"/>
      <c r="G14" s="1"/>
      <c r="H14" s="1"/>
    </row>
    <row r="15" spans="1:8" ht="21" customHeight="1">
      <c r="A15" s="4" t="s">
        <v>58</v>
      </c>
      <c r="B15" s="4" t="s">
        <v>67</v>
      </c>
      <c r="C15" s="4" t="s">
        <v>68</v>
      </c>
      <c r="D15" s="7">
        <v>0</v>
      </c>
      <c r="E15" s="4" t="s">
        <v>27</v>
      </c>
      <c r="F15" s="1"/>
      <c r="G15" s="1"/>
      <c r="H15" s="1"/>
    </row>
    <row r="16" spans="1:8" ht="21" customHeight="1">
      <c r="A16" s="4" t="s">
        <v>69</v>
      </c>
      <c r="B16" s="4" t="s">
        <v>22</v>
      </c>
      <c r="C16" s="4" t="s">
        <v>52</v>
      </c>
      <c r="D16" s="7">
        <v>0</v>
      </c>
      <c r="E16" s="4" t="s">
        <v>70</v>
      </c>
      <c r="F16" s="1"/>
      <c r="G16" s="1"/>
      <c r="H16" s="1"/>
    </row>
    <row r="17" spans="1:8" ht="21" customHeight="1">
      <c r="A17" s="4" t="s">
        <v>71</v>
      </c>
      <c r="B17" s="4" t="s">
        <v>25</v>
      </c>
      <c r="C17" s="4" t="s">
        <v>26</v>
      </c>
      <c r="D17" s="7">
        <v>0</v>
      </c>
      <c r="E17" s="4" t="s">
        <v>27</v>
      </c>
      <c r="F17" s="1"/>
      <c r="G17" s="1"/>
      <c r="H17" s="1"/>
    </row>
    <row r="18" spans="1:8" ht="21" customHeight="1">
      <c r="A18" s="4" t="s">
        <v>72</v>
      </c>
      <c r="B18" s="4" t="s">
        <v>73</v>
      </c>
      <c r="C18" s="4" t="s">
        <v>74</v>
      </c>
      <c r="D18" s="7">
        <v>0</v>
      </c>
      <c r="E18" s="4" t="s">
        <v>75</v>
      </c>
      <c r="F18" s="1"/>
      <c r="G18" s="1"/>
      <c r="H18" s="1"/>
    </row>
    <row r="19" spans="1:8" ht="21" customHeight="1">
      <c r="A19" s="4" t="s">
        <v>76</v>
      </c>
      <c r="B19" s="4" t="s">
        <v>76</v>
      </c>
      <c r="C19" s="4" t="s">
        <v>77</v>
      </c>
      <c r="D19" s="7">
        <v>0</v>
      </c>
      <c r="E19" s="4" t="s">
        <v>27</v>
      </c>
      <c r="F19" s="1"/>
      <c r="G19" s="1"/>
      <c r="H19" s="1"/>
    </row>
    <row r="20" spans="1:8" ht="21" customHeight="1">
      <c r="A20" s="1"/>
      <c r="B20" s="1"/>
      <c r="C20" s="1"/>
      <c r="D20" s="12"/>
      <c r="E20" s="1"/>
      <c r="F20" s="1"/>
      <c r="G20" s="1"/>
      <c r="H20" s="1"/>
    </row>
    <row r="21" spans="1:8" ht="21" customHeight="1">
      <c r="A21" s="6" t="s">
        <v>78</v>
      </c>
      <c r="B21" s="6"/>
      <c r="C21" s="6"/>
      <c r="D21" s="10">
        <f>SUM(D11:D19)</f>
        <v>0</v>
      </c>
      <c r="E21" s="6"/>
      <c r="F21" s="1"/>
      <c r="G21" s="1"/>
      <c r="H21" s="1"/>
    </row>
    <row r="22" spans="1:8" ht="21" customHeight="1">
      <c r="A22" s="51"/>
      <c r="B22" s="51"/>
      <c r="C22" s="51"/>
      <c r="D22" s="51"/>
      <c r="E22" s="1"/>
      <c r="F22" s="1"/>
      <c r="G22" s="1"/>
      <c r="H22" s="1"/>
    </row>
    <row r="23" spans="1:8" ht="21" customHeight="1">
      <c r="A23" s="57" t="s">
        <v>79</v>
      </c>
      <c r="B23" s="57"/>
      <c r="C23" s="57"/>
      <c r="D23" s="58"/>
      <c r="E23" s="34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</sheetData>
  <mergeCells count="2">
    <mergeCell ref="C6:D7"/>
    <mergeCell ref="A2:B2"/>
  </mergeCells>
  <pageMargins left="0.7" right="0.7" top="0.75" bottom="0.75" header="0.3" footer="0.3"/>
  <ignoredErrors>
    <ignoredError sqref="B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 General</vt:lpstr>
      <vt:lpstr>Distribución por fases</vt:lpstr>
      <vt:lpstr>Costos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Stiven Valencia Hernández</cp:lastModifiedBy>
  <dcterms:modified xsi:type="dcterms:W3CDTF">2026-09-18T21:54:11Z</dcterms:modified>
</cp:coreProperties>
</file>